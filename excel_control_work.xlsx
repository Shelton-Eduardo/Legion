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Диаграмма" sheetId="2" r:id="rId5"/>
  </sheets>
  <definedNames/>
  <calcPr/>
</workbook>
</file>

<file path=xl/sharedStrings.xml><?xml version="1.0" encoding="utf-8"?>
<sst xmlns="http://schemas.openxmlformats.org/spreadsheetml/2006/main" count="61" uniqueCount="47">
  <si>
    <t>Контрольная работа по MS Excel</t>
  </si>
  <si>
    <t>Код</t>
  </si>
  <si>
    <t>Должность</t>
  </si>
  <si>
    <t>Оклад</t>
  </si>
  <si>
    <t>Вычет на себя</t>
  </si>
  <si>
    <t>Председатель</t>
  </si>
  <si>
    <t>Вычет на иждивенца</t>
  </si>
  <si>
    <t>Бухгалтер</t>
  </si>
  <si>
    <t>Ставка налога</t>
  </si>
  <si>
    <t>Паспортистка</t>
  </si>
  <si>
    <t>Сантехник</t>
  </si>
  <si>
    <t>Электрик</t>
  </si>
  <si>
    <t>Дворник</t>
  </si>
  <si>
    <t>Сотрудники</t>
  </si>
  <si>
    <t>Фамилия</t>
  </si>
  <si>
    <t>Имя</t>
  </si>
  <si>
    <t>Отчество</t>
  </si>
  <si>
    <t>Код должности</t>
  </si>
  <si>
    <t>Кол. Иждивенцев</t>
  </si>
  <si>
    <t>ФИО</t>
  </si>
  <si>
    <t>Налоговая база</t>
  </si>
  <si>
    <t>Налог</t>
  </si>
  <si>
    <t>К выдаче</t>
  </si>
  <si>
    <t>Куницын</t>
  </si>
  <si>
    <t>Евгений</t>
  </si>
  <si>
    <t>Иванович</t>
  </si>
  <si>
    <t>Файзуллина</t>
  </si>
  <si>
    <t>Зайнаб</t>
  </si>
  <si>
    <t>Рашидовна</t>
  </si>
  <si>
    <t>Гульнара</t>
  </si>
  <si>
    <t>Ильгизовна</t>
  </si>
  <si>
    <t>Запоинов</t>
  </si>
  <si>
    <t>Юрий</t>
  </si>
  <si>
    <t>Федорович</t>
  </si>
  <si>
    <t>Александров</t>
  </si>
  <si>
    <t>Николай</t>
  </si>
  <si>
    <t>Чапчин</t>
  </si>
  <si>
    <t>Александр</t>
  </si>
  <si>
    <t>Васильевич</t>
  </si>
  <si>
    <t>Хабеев</t>
  </si>
  <si>
    <t>Рустем</t>
  </si>
  <si>
    <t>Сабирович</t>
  </si>
  <si>
    <t>Столяров</t>
  </si>
  <si>
    <t>Владимирович</t>
  </si>
  <si>
    <t>Итого</t>
  </si>
  <si>
    <t>Примечания:</t>
  </si>
  <si>
    <t>Налог. база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</si>
</sst>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₽"/>
  </numFmts>
  <fonts count="5">
    <font>
      <sz val="11.0"/>
      <color/>
      <name val="Arial"/>
      <scheme val="minor"/>
    </font>
    <font>
      <sz val="11.0"/>
      <color/>
      <name val="Calibri"/>
    </font>
    <font>
      <b/>
      <sz val="14.0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8.0"/>
    <col customWidth="1" min="4" max="4" width="15.0"/>
    <col customWidth="1" min="5" max="5" width="18.0"/>
    <col customWidth="1" min="6" max="6" width="8.71"/>
    <col customWidth="1" min="7" max="7" width="25.0"/>
    <col customWidth="1" min="8" max="8" width="12.0"/>
    <col customWidth="1" min="9" max="9" width="18.0"/>
    <col customWidth="1" min="10" max="11" width="12.0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3" t="s">
        <v>1</v>
      </c>
      <c r="C3" s="3" t="s">
        <v>2</v>
      </c>
      <c r="D3" s="3" t="s">
        <v>3</v>
      </c>
      <c r="E3" s="1"/>
      <c r="F3" s="4" t="s">
        <v>4</v>
      </c>
      <c r="G3" s="1"/>
      <c r="H3" s="1">
        <v>400.0</v>
      </c>
      <c r="I3" s="1"/>
      <c r="J3" s="1"/>
      <c r="K3" s="1"/>
    </row>
    <row r="4">
      <c r="A4" s="1"/>
      <c r="B4" s="5">
        <v>1.0</v>
      </c>
      <c r="C4" s="5" t="s">
        <v>5</v>
      </c>
      <c r="D4" s="6">
        <v>5000.0</v>
      </c>
      <c r="E4" s="1"/>
      <c r="F4" s="4" t="s">
        <v>6</v>
      </c>
      <c r="G4" s="1"/>
      <c r="H4" s="7">
        <v>300.0</v>
      </c>
      <c r="I4" s="7"/>
      <c r="J4" s="7"/>
      <c r="K4" s="7"/>
    </row>
    <row r="5">
      <c r="A5" s="1"/>
      <c r="B5" s="5">
        <v>2.0</v>
      </c>
      <c r="C5" s="5" t="s">
        <v>7</v>
      </c>
      <c r="D5" s="6">
        <v>4000.0</v>
      </c>
      <c r="E5" s="1"/>
      <c r="F5" s="4" t="s">
        <v>8</v>
      </c>
      <c r="G5" s="1"/>
      <c r="H5" s="7">
        <v>0.13</v>
      </c>
      <c r="I5" s="7"/>
      <c r="J5" s="7"/>
      <c r="K5" s="7"/>
    </row>
    <row r="6">
      <c r="A6" s="1"/>
      <c r="B6" s="5">
        <v>3.0</v>
      </c>
      <c r="C6" s="5" t="s">
        <v>9</v>
      </c>
      <c r="D6" s="6">
        <v>2000.0</v>
      </c>
      <c r="E6" s="1"/>
      <c r="F6" s="1"/>
      <c r="G6" s="1"/>
      <c r="H6" s="7"/>
      <c r="I6" s="7"/>
      <c r="J6" s="7"/>
      <c r="K6" s="7"/>
    </row>
    <row r="7">
      <c r="A7" s="1"/>
      <c r="B7" s="5">
        <v>4.0</v>
      </c>
      <c r="C7" s="5" t="s">
        <v>10</v>
      </c>
      <c r="D7" s="6">
        <v>2500.0</v>
      </c>
      <c r="E7" s="1"/>
      <c r="F7" s="1"/>
      <c r="G7" s="1"/>
      <c r="H7" s="7"/>
      <c r="I7" s="7"/>
      <c r="J7" s="7"/>
      <c r="K7" s="7"/>
    </row>
    <row r="8">
      <c r="A8" s="1"/>
      <c r="B8" s="5">
        <v>5.0</v>
      </c>
      <c r="C8" s="5" t="s">
        <v>11</v>
      </c>
      <c r="D8" s="6">
        <v>1800.0</v>
      </c>
      <c r="E8" s="1"/>
      <c r="F8" s="1"/>
      <c r="G8" s="1"/>
      <c r="H8" s="7"/>
      <c r="I8" s="7"/>
      <c r="J8" s="7"/>
      <c r="K8" s="7"/>
    </row>
    <row r="9">
      <c r="A9" s="1"/>
      <c r="B9" s="5">
        <v>6.0</v>
      </c>
      <c r="C9" s="5" t="s">
        <v>12</v>
      </c>
      <c r="D9" s="6">
        <v>2100.0</v>
      </c>
      <c r="E9" s="1"/>
      <c r="F9" s="1"/>
      <c r="G9" s="1"/>
      <c r="H9" s="7"/>
      <c r="I9" s="7"/>
      <c r="J9" s="7"/>
      <c r="K9" s="7"/>
    </row>
    <row r="10">
      <c r="A10" s="1"/>
      <c r="B10" s="1"/>
      <c r="C10" s="1"/>
      <c r="D10" s="7"/>
      <c r="E10" s="1"/>
      <c r="F10" s="1"/>
      <c r="G10" s="1"/>
      <c r="H10" s="7"/>
      <c r="I10" s="7"/>
      <c r="J10" s="7"/>
      <c r="K10" s="7"/>
    </row>
    <row r="11">
      <c r="A11" s="1"/>
      <c r="B11" s="1"/>
      <c r="C11" s="4" t="s">
        <v>13</v>
      </c>
      <c r="D11" s="7"/>
      <c r="E11" s="1"/>
      <c r="F11" s="1"/>
      <c r="G11" s="1"/>
      <c r="H11" s="7"/>
      <c r="I11" s="7"/>
      <c r="J11" s="7"/>
      <c r="K11" s="7"/>
    </row>
    <row r="12">
      <c r="A12" s="1"/>
      <c r="B12" s="1"/>
      <c r="C12" s="1"/>
      <c r="D12" s="7"/>
      <c r="E12" s="1"/>
      <c r="F12" s="1"/>
      <c r="G12" s="1"/>
      <c r="H12" s="7"/>
      <c r="I12" s="7"/>
      <c r="J12" s="7"/>
      <c r="K12" s="7"/>
    </row>
    <row r="13">
      <c r="A13" s="3" t="s">
        <v>14</v>
      </c>
      <c r="B13" s="3" t="s">
        <v>15</v>
      </c>
      <c r="C13" s="3" t="s">
        <v>16</v>
      </c>
      <c r="D13" s="8" t="s">
        <v>17</v>
      </c>
      <c r="E13" s="3" t="s">
        <v>18</v>
      </c>
      <c r="F13" s="1"/>
      <c r="G13" s="3" t="s">
        <v>19</v>
      </c>
      <c r="H13" s="8" t="s">
        <v>3</v>
      </c>
      <c r="I13" s="8" t="s">
        <v>20</v>
      </c>
      <c r="J13" s="8" t="s">
        <v>21</v>
      </c>
      <c r="K13" s="8" t="s">
        <v>22</v>
      </c>
    </row>
    <row r="14">
      <c r="A14" s="5" t="s">
        <v>23</v>
      </c>
      <c r="B14" s="5" t="s">
        <v>24</v>
      </c>
      <c r="C14" s="5" t="s">
        <v>25</v>
      </c>
      <c r="D14" s="6">
        <v>1.0</v>
      </c>
      <c r="E14" s="5">
        <v>1.0</v>
      </c>
      <c r="F14" s="1"/>
      <c r="G14" s="5" t="str">
        <f t="shared" ref="G14:G22" si="1">A14&amp;" "&amp;LEFT(B14,1)&amp;"."&amp;LEFT(C14,1)&amp;"."</f>
        <v>Куницын Е.И.</v>
      </c>
      <c r="H14" s="6" t="str">
        <f t="shared" ref="H14:H22" si="2">VLOOKUP(D14,$B$4:$D$9,3,FALSE)</f>
        <v>5,000.00₽</v>
      </c>
      <c r="I14" s="6" t="str">
        <f t="shared" ref="I14:I22" si="3">H14-$H$3-(E14*$H$4)</f>
        <v>4,300.00₽</v>
      </c>
      <c r="J14" s="6" t="str">
        <f t="shared" ref="J14:J22" si="4">I14*$H$5</f>
        <v>559.00₽</v>
      </c>
      <c r="K14" s="6" t="str">
        <f t="shared" ref="K14:K22" si="5">H14-J14</f>
        <v>4,441.00₽</v>
      </c>
    </row>
    <row r="15">
      <c r="A15" s="5" t="s">
        <v>26</v>
      </c>
      <c r="B15" s="5" t="s">
        <v>27</v>
      </c>
      <c r="C15" s="5" t="s">
        <v>28</v>
      </c>
      <c r="D15" s="6">
        <v>2.0</v>
      </c>
      <c r="E15" s="5">
        <v>0.0</v>
      </c>
      <c r="F15" s="1"/>
      <c r="G15" s="5" t="str">
        <f t="shared" si="1"/>
        <v>Файзуллина З.Р.</v>
      </c>
      <c r="H15" s="6" t="str">
        <f t="shared" si="2"/>
        <v>4,000.00₽</v>
      </c>
      <c r="I15" s="6" t="str">
        <f t="shared" si="3"/>
        <v>3,600.00₽</v>
      </c>
      <c r="J15" s="6" t="str">
        <f t="shared" si="4"/>
        <v>468.00₽</v>
      </c>
      <c r="K15" s="6" t="str">
        <f t="shared" si="5"/>
        <v>3,532.00₽</v>
      </c>
    </row>
    <row r="16">
      <c r="A16" s="5" t="s">
        <v>26</v>
      </c>
      <c r="B16" s="5" t="s">
        <v>29</v>
      </c>
      <c r="C16" s="5" t="s">
        <v>30</v>
      </c>
      <c r="D16" s="6">
        <v>3.0</v>
      </c>
      <c r="E16" s="5">
        <v>1.0</v>
      </c>
      <c r="F16" s="1"/>
      <c r="G16" s="5" t="str">
        <f t="shared" si="1"/>
        <v>Файзуллина Г.И.</v>
      </c>
      <c r="H16" s="6" t="str">
        <f t="shared" si="2"/>
        <v>2,000.00₽</v>
      </c>
      <c r="I16" s="6" t="str">
        <f t="shared" si="3"/>
        <v>1,300.00₽</v>
      </c>
      <c r="J16" s="6" t="str">
        <f t="shared" si="4"/>
        <v>169.00₽</v>
      </c>
      <c r="K16" s="6" t="str">
        <f t="shared" si="5"/>
        <v>1,831.00₽</v>
      </c>
    </row>
    <row r="17">
      <c r="A17" s="5" t="s">
        <v>31</v>
      </c>
      <c r="B17" s="5" t="s">
        <v>32</v>
      </c>
      <c r="C17" s="5" t="s">
        <v>33</v>
      </c>
      <c r="D17" s="6">
        <v>6.0</v>
      </c>
      <c r="E17" s="5">
        <v>0.0</v>
      </c>
      <c r="F17" s="1"/>
      <c r="G17" s="5" t="str">
        <f t="shared" si="1"/>
        <v>Запоинов Ю.Ф.</v>
      </c>
      <c r="H17" s="6" t="str">
        <f t="shared" si="2"/>
        <v>2,100.00₽</v>
      </c>
      <c r="I17" s="6" t="str">
        <f t="shared" si="3"/>
        <v>1,700.00₽</v>
      </c>
      <c r="J17" s="6" t="str">
        <f t="shared" si="4"/>
        <v>221.00₽</v>
      </c>
      <c r="K17" s="6" t="str">
        <f t="shared" si="5"/>
        <v>1,879.00₽</v>
      </c>
    </row>
    <row r="18">
      <c r="A18" s="5" t="s">
        <v>34</v>
      </c>
      <c r="B18" s="5" t="s">
        <v>35</v>
      </c>
      <c r="C18" s="5" t="s">
        <v>33</v>
      </c>
      <c r="D18" s="6">
        <v>4.0</v>
      </c>
      <c r="E18" s="5">
        <v>2.0</v>
      </c>
      <c r="F18" s="1"/>
      <c r="G18" s="5" t="str">
        <f t="shared" si="1"/>
        <v>Александров Н.Ф.</v>
      </c>
      <c r="H18" s="6" t="str">
        <f t="shared" si="2"/>
        <v>2,500.00₽</v>
      </c>
      <c r="I18" s="6" t="str">
        <f t="shared" si="3"/>
        <v>1,500.00₽</v>
      </c>
      <c r="J18" s="6" t="str">
        <f t="shared" si="4"/>
        <v>195.00₽</v>
      </c>
      <c r="K18" s="6" t="str">
        <f t="shared" si="5"/>
        <v>2,305.00₽</v>
      </c>
    </row>
    <row r="19">
      <c r="A19" s="5" t="s">
        <v>36</v>
      </c>
      <c r="B19" s="5" t="s">
        <v>37</v>
      </c>
      <c r="C19" s="5" t="s">
        <v>38</v>
      </c>
      <c r="D19" s="6">
        <v>2.0</v>
      </c>
      <c r="E19" s="5">
        <v>0.0</v>
      </c>
      <c r="F19" s="1"/>
      <c r="G19" s="5" t="str">
        <f t="shared" si="1"/>
        <v>Чапчин А.В.</v>
      </c>
      <c r="H19" s="6" t="str">
        <f t="shared" si="2"/>
        <v>4,000.00₽</v>
      </c>
      <c r="I19" s="6" t="str">
        <f t="shared" si="3"/>
        <v>3,600.00₽</v>
      </c>
      <c r="J19" s="6" t="str">
        <f t="shared" si="4"/>
        <v>468.00₽</v>
      </c>
      <c r="K19" s="6" t="str">
        <f t="shared" si="5"/>
        <v>3,532.00₽</v>
      </c>
    </row>
    <row r="20">
      <c r="A20" s="5" t="s">
        <v>39</v>
      </c>
      <c r="B20" s="5" t="s">
        <v>40</v>
      </c>
      <c r="C20" s="5" t="s">
        <v>41</v>
      </c>
      <c r="D20" s="6">
        <v>5.0</v>
      </c>
      <c r="E20" s="5">
        <v>3.0</v>
      </c>
      <c r="F20" s="1"/>
      <c r="G20" s="5" t="str">
        <f t="shared" si="1"/>
        <v>Хабеев Р.С.</v>
      </c>
      <c r="H20" s="6" t="str">
        <f t="shared" si="2"/>
        <v>1,800.00₽</v>
      </c>
      <c r="I20" s="6" t="str">
        <f t="shared" si="3"/>
        <v>500.00₽</v>
      </c>
      <c r="J20" s="6" t="str">
        <f t="shared" si="4"/>
        <v>65.00₽</v>
      </c>
      <c r="K20" s="6" t="str">
        <f t="shared" si="5"/>
        <v>1,735.00₽</v>
      </c>
    </row>
    <row r="21" ht="15.75" customHeight="1">
      <c r="A21" s="5" t="s">
        <v>26</v>
      </c>
      <c r="B21" s="5" t="s">
        <v>29</v>
      </c>
      <c r="C21" s="5" t="s">
        <v>30</v>
      </c>
      <c r="D21" s="6">
        <v>2.0</v>
      </c>
      <c r="E21" s="5">
        <v>1.0</v>
      </c>
      <c r="F21" s="1"/>
      <c r="G21" s="5" t="str">
        <f t="shared" si="1"/>
        <v>Файзуллина Г.И.</v>
      </c>
      <c r="H21" s="6" t="str">
        <f t="shared" si="2"/>
        <v>4,000.00₽</v>
      </c>
      <c r="I21" s="6" t="str">
        <f t="shared" si="3"/>
        <v>3,300.00₽</v>
      </c>
      <c r="J21" s="6" t="str">
        <f t="shared" si="4"/>
        <v>429.00₽</v>
      </c>
      <c r="K21" s="6" t="str">
        <f t="shared" si="5"/>
        <v>3,571.00₽</v>
      </c>
    </row>
    <row r="22" ht="15.75" customHeight="1">
      <c r="A22" s="5" t="s">
        <v>42</v>
      </c>
      <c r="B22" s="5" t="s">
        <v>32</v>
      </c>
      <c r="C22" s="5" t="s">
        <v>43</v>
      </c>
      <c r="D22" s="6">
        <v>6.0</v>
      </c>
      <c r="E22" s="5">
        <v>0.0</v>
      </c>
      <c r="F22" s="1"/>
      <c r="G22" s="5" t="str">
        <f t="shared" si="1"/>
        <v>Столяров Ю.В.</v>
      </c>
      <c r="H22" s="6" t="str">
        <f t="shared" si="2"/>
        <v>2,100.00₽</v>
      </c>
      <c r="I22" s="6" t="str">
        <f t="shared" si="3"/>
        <v>1,700.00₽</v>
      </c>
      <c r="J22" s="6" t="str">
        <f t="shared" si="4"/>
        <v>221.00₽</v>
      </c>
      <c r="K22" s="6" t="str">
        <f t="shared" si="5"/>
        <v>1,879.00₽</v>
      </c>
    </row>
    <row r="23" ht="15.75" customHeight="1">
      <c r="A23" s="1"/>
      <c r="B23" s="1"/>
      <c r="C23" s="1"/>
      <c r="D23" s="7"/>
      <c r="E23" s="1"/>
      <c r="F23" s="1"/>
      <c r="G23" s="4" t="s">
        <v>44</v>
      </c>
      <c r="H23" s="8" t="str">
        <f t="shared" ref="H23:K23" si="6">SUM(H14:H22)</f>
        <v>27,500.00₽</v>
      </c>
      <c r="I23" s="8" t="str">
        <f t="shared" si="6"/>
        <v>21,500.00₽</v>
      </c>
      <c r="J23" s="8" t="str">
        <f t="shared" si="6"/>
        <v>2,795.00₽</v>
      </c>
      <c r="K23" s="8" t="str">
        <f t="shared" si="6"/>
        <v>24,705.00₽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 t="s">
        <v>45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 t="s">
        <v>19</v>
      </c>
      <c r="B28" s="1" t="str">
        <f>A14&amp;" "&amp;LEFT(B14,1)&amp;"."&amp;LEFT(C14,1)&amp;"."</f>
        <v>Куницын Е.И.</v>
      </c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 t="s">
        <v>3</v>
      </c>
      <c r="B29" s="7" t="str">
        <f>VLOOKUP(D14,$B$4:$D$9,3,FALSE)</f>
        <v>5,000.00₽</v>
      </c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 t="s">
        <v>46</v>
      </c>
      <c r="B30" s="7" t="str">
        <f>H14-$H$3-(E14*$H$4)</f>
        <v>4,300.00₽</v>
      </c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19</v>
      </c>
      <c r="B1" t="s">
        <v>3</v>
      </c>
      <c r="C1" t="s">
        <v>20</v>
      </c>
      <c r="D1" t="s">
        <v>21</v>
      </c>
      <c r="E1" t="s">
        <v>22</v>
      </c>
    </row>
    <row r="2">
      <c r="A2" t="str">
        <f>'Лист1'!G14</f>
        <v>Куницын Е.И.</v>
      </c>
      <c r="B2" s="9" t="str">
        <f>'Лист1'!H14</f>
        <v>5,000.00₽</v>
      </c>
      <c r="C2" s="9" t="str">
        <f>'Лист1'!I14</f>
        <v>4,300.00₽</v>
      </c>
      <c r="D2" s="9" t="str">
        <f>'Лист1'!J14</f>
        <v>559.00₽</v>
      </c>
      <c r="E2" s="9" t="str">
        <f>'Лист1'!K14</f>
        <v>4,441.00₽</v>
      </c>
    </row>
    <row r="3">
      <c r="A3" t="str">
        <f>'Лист1'!G15</f>
        <v>Файзуллина З.Р.</v>
      </c>
      <c r="B3" s="9" t="str">
        <f>'Лист1'!H15</f>
        <v>4,000.00₽</v>
      </c>
      <c r="C3" s="9" t="str">
        <f>'Лист1'!I15</f>
        <v>3,600.00₽</v>
      </c>
      <c r="D3" s="9" t="str">
        <f>'Лист1'!J15</f>
        <v>468.00₽</v>
      </c>
      <c r="E3" s="9" t="str">
        <f>'Лист1'!K15</f>
        <v>3,532.00₽</v>
      </c>
    </row>
    <row r="4">
      <c r="A4" t="str">
        <f>'Лист1'!G16</f>
        <v>Файзуллина Г.И.</v>
      </c>
      <c r="B4" s="9" t="str">
        <f>'Лист1'!H16</f>
        <v>2,000.00₽</v>
      </c>
      <c r="C4" s="9" t="str">
        <f>'Лист1'!I16</f>
        <v>1,300.00₽</v>
      </c>
      <c r="D4" s="9" t="str">
        <f>'Лист1'!J16</f>
        <v>169.00₽</v>
      </c>
      <c r="E4" s="9" t="str">
        <f>'Лист1'!K16</f>
        <v>1,831.00₽</v>
      </c>
    </row>
    <row r="5">
      <c r="A5" t="str">
        <f>'Лист1'!G17</f>
        <v>Запоинов Ю.Ф.</v>
      </c>
      <c r="B5" s="9" t="str">
        <f>'Лист1'!H17</f>
        <v>2,100.00₽</v>
      </c>
      <c r="C5" s="9" t="str">
        <f>'Лист1'!I17</f>
        <v>1,700.00₽</v>
      </c>
      <c r="D5" s="9" t="str">
        <f>'Лист1'!J17</f>
        <v>221.00₽</v>
      </c>
      <c r="E5" s="9" t="str">
        <f>'Лист1'!K17</f>
        <v>1,879.00₽</v>
      </c>
    </row>
    <row r="6">
      <c r="A6" t="str">
        <f>'Лист1'!G18</f>
        <v>Александров Н.Ф.</v>
      </c>
      <c r="B6" s="9" t="str">
        <f>'Лист1'!H18</f>
        <v>2,500.00₽</v>
      </c>
      <c r="C6" s="9" t="str">
        <f>'Лист1'!I18</f>
        <v>1,500.00₽</v>
      </c>
      <c r="D6" s="9" t="str">
        <f>'Лист1'!J18</f>
        <v>195.00₽</v>
      </c>
      <c r="E6" s="9" t="str">
        <f>'Лист1'!K18</f>
        <v>2,305.00₽</v>
      </c>
    </row>
    <row r="7">
      <c r="A7" t="str">
        <f>'Лист1'!G19</f>
        <v>Чапчин А.В.</v>
      </c>
      <c r="B7" s="9" t="str">
        <f>'Лист1'!H19</f>
        <v>4,000.00₽</v>
      </c>
      <c r="C7" s="9" t="str">
        <f>'Лист1'!I19</f>
        <v>3,600.00₽</v>
      </c>
      <c r="D7" s="9" t="str">
        <f>'Лист1'!J19</f>
        <v>468.00₽</v>
      </c>
      <c r="E7" s="9" t="str">
        <f>'Лист1'!K19</f>
        <v>3,532.00₽</v>
      </c>
    </row>
    <row r="8">
      <c r="A8" t="str">
        <f>'Лист1'!G20</f>
        <v>Хабеев Р.С.</v>
      </c>
      <c r="B8" s="9" t="str">
        <f>'Лист1'!H20</f>
        <v>1,800.00₽</v>
      </c>
      <c r="C8" s="9" t="str">
        <f>'Лист1'!I20</f>
        <v>500.00₽</v>
      </c>
      <c r="D8" s="9" t="str">
        <f>'Лист1'!J20</f>
        <v>65.00₽</v>
      </c>
      <c r="E8" s="9" t="str">
        <f>'Лист1'!K20</f>
        <v>1,735.00₽</v>
      </c>
    </row>
    <row r="9">
      <c r="A9" t="str">
        <f>'Лист1'!G21</f>
        <v>Файзуллина Г.И.</v>
      </c>
      <c r="B9" s="9" t="str">
        <f>'Лист1'!H21</f>
        <v>4,000.00₽</v>
      </c>
      <c r="C9" s="9" t="str">
        <f>'Лист1'!I21</f>
        <v>3,300.00₽</v>
      </c>
      <c r="D9" s="9" t="str">
        <f>'Лист1'!J21</f>
        <v>429.00₽</v>
      </c>
      <c r="E9" s="9" t="str">
        <f>'Лист1'!K21</f>
        <v>3,571.00₽</v>
      </c>
    </row>
    <row r="10">
      <c r="A10" t="str">
        <f>'Лист1'!G22</f>
        <v>Столяров Ю.В.</v>
      </c>
      <c r="B10" s="9" t="str">
        <f>'Лист1'!H22</f>
        <v>2,100.00₽</v>
      </c>
      <c r="C10" s="9" t="str">
        <f>'Лист1'!I22</f>
        <v>1,700.00₽</v>
      </c>
      <c r="D10" s="9" t="str">
        <f>'Лист1'!J22</f>
        <v>221.00₽</v>
      </c>
      <c r="E10" s="9" t="str">
        <f>'Лист1'!K22</f>
        <v>1,879.00₽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2026-05-26T06:02:14Z</dcterms:created>
  <dc:creator>openpyxl</dc:creator>
  <dcterms:modified xsi:type="dcterms:W3CDTF">2026-05-26T06:02:14Z</dcterms:modified>
</cp:coreProperties>
</file>