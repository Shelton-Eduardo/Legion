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lton-Eduardo\Downloads\Telegram Desktop\"/>
    </mc:Choice>
  </mc:AlternateContent>
  <bookViews>
    <workbookView xWindow="0" yWindow="0" windowWidth="23040" windowHeight="9072"/>
  </bookViews>
  <sheets>
    <sheet name="Formats and References" sheetId="1" r:id="rId1"/>
    <sheet name="Salary Calculation" sheetId="2" r:id="rId2"/>
  </sheets>
  <calcPr calcId="162913"/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F14" i="2"/>
  <c r="H13" i="2"/>
  <c r="I13" i="2" s="1"/>
  <c r="E13" i="2"/>
  <c r="H12" i="2"/>
  <c r="I12" i="2" s="1"/>
  <c r="E12" i="2"/>
  <c r="H11" i="2"/>
  <c r="I11" i="2" s="1"/>
  <c r="E11" i="2"/>
  <c r="H10" i="2"/>
  <c r="I10" i="2" s="1"/>
  <c r="E10" i="2"/>
  <c r="H9" i="2"/>
  <c r="H14" i="2" s="1"/>
  <c r="E9" i="2"/>
  <c r="I9" i="2" l="1"/>
  <c r="I14" i="2" s="1"/>
</calcChain>
</file>

<file path=xl/sharedStrings.xml><?xml version="1.0" encoding="utf-8"?>
<sst xmlns="http://schemas.openxmlformats.org/spreadsheetml/2006/main" count="53" uniqueCount="52">
  <si>
    <t>Тема "Форматы"</t>
  </si>
  <si>
    <t>Общий</t>
  </si>
  <si>
    <t>Числовой</t>
  </si>
  <si>
    <t>Денежный</t>
  </si>
  <si>
    <t>Финансовый</t>
  </si>
  <si>
    <t>%</t>
  </si>
  <si>
    <t>10</t>
  </si>
  <si>
    <t>10,00</t>
  </si>
  <si>
    <t>10,00р.</t>
  </si>
  <si>
    <t>$</t>
  </si>
  <si>
    <t>10,00%</t>
  </si>
  <si>
    <t>$10</t>
  </si>
  <si>
    <t>10%</t>
  </si>
  <si>
    <t>10 000,00</t>
  </si>
  <si>
    <t>15 000,00</t>
  </si>
  <si>
    <t>10 DM</t>
  </si>
  <si>
    <t>Тема "Относительные и Абсолютные ссылки"</t>
  </si>
  <si>
    <t>Исходные числа</t>
  </si>
  <si>
    <t>Доля числа, %</t>
  </si>
  <si>
    <t>Тема "Расчет заработной платы"</t>
  </si>
  <si>
    <t>% подох. налога</t>
  </si>
  <si>
    <t>льгота 1</t>
  </si>
  <si>
    <t>льгота 2</t>
  </si>
  <si>
    <t>№</t>
  </si>
  <si>
    <t>Фамилия</t>
  </si>
  <si>
    <t>Имя</t>
  </si>
  <si>
    <t>Отчество</t>
  </si>
  <si>
    <t>Ф.И.О.</t>
  </si>
  <si>
    <t>Оклад</t>
  </si>
  <si>
    <t>Кол-во иждив.</t>
  </si>
  <si>
    <t>Под. налог</t>
  </si>
  <si>
    <t>Сумма к выдаче</t>
  </si>
  <si>
    <t>Капица</t>
  </si>
  <si>
    <t>Иван</t>
  </si>
  <si>
    <t>Петрович</t>
  </si>
  <si>
    <t>Метелица</t>
  </si>
  <si>
    <t>Марья</t>
  </si>
  <si>
    <t>Даниловна</t>
  </si>
  <si>
    <t>Хузин</t>
  </si>
  <si>
    <t>Ильдар</t>
  </si>
  <si>
    <t>Романович</t>
  </si>
  <si>
    <t>Чайковский</t>
  </si>
  <si>
    <t>Петр</t>
  </si>
  <si>
    <t>Ильич</t>
  </si>
  <si>
    <t>Иванов</t>
  </si>
  <si>
    <t>Альберт</t>
  </si>
  <si>
    <t>Ильдарович</t>
  </si>
  <si>
    <t>Итого:</t>
  </si>
  <si>
    <t>Ф.И.О. = Фамилия &amp; " " &amp; LEFT(Имя,1) &amp; "." &amp; LEFT(Отчество,1) &amp; "."</t>
  </si>
  <si>
    <t>Под. налог = 13% * (Оклад - льгота1 - (Кол-во иждив * льгота2))</t>
  </si>
  <si>
    <t>Сумма к выдаче = Оклад - Под. налог</t>
  </si>
  <si>
    <t>ИТОГО: 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</si>
</sst>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A8" workbookViewId="0">
      <selection activeCell="B14" sqref="B14"/>
    </sheetView>
  </sheetViews>
  <sheetFormatPr defaultRowHeight="14.4" x14ac:dyDescent="0.3"/>
  <cols>
    <col min="1" max="1" width="22" customWidth="1"/>
    <col min="2" max="2" width="20" customWidth="1"/>
    <col min="3" max="4" width="18" customWidth="1"/>
    <col min="5" max="5" width="15" customWidth="1"/>
  </cols>
  <sheetData>
    <row r="1" spans="1:5" x14ac:dyDescent="0.3">
      <c r="A1" s="6" t="s">
        <v>0</v>
      </c>
      <c r="B1" s="7"/>
      <c r="C1" s="7"/>
      <c r="D1" s="7"/>
      <c r="E1" s="7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3">
      <c r="A5" s="2"/>
      <c r="B5" s="2"/>
      <c r="C5" s="2" t="s">
        <v>11</v>
      </c>
      <c r="D5" s="2" t="s">
        <v>6</v>
      </c>
      <c r="E5" s="2" t="s">
        <v>12</v>
      </c>
    </row>
    <row r="6" spans="1:5" x14ac:dyDescent="0.3">
      <c r="A6" s="2"/>
      <c r="B6" s="2" t="s">
        <v>13</v>
      </c>
      <c r="C6" s="2"/>
      <c r="D6" s="2"/>
      <c r="E6" s="2"/>
    </row>
    <row r="7" spans="1:5" x14ac:dyDescent="0.3">
      <c r="A7" s="2"/>
      <c r="B7" s="2" t="s">
        <v>14</v>
      </c>
      <c r="C7" s="2" t="s">
        <v>15</v>
      </c>
      <c r="D7" s="2"/>
      <c r="E7" s="2"/>
    </row>
    <row r="10" spans="1:5" x14ac:dyDescent="0.3">
      <c r="A10" s="8" t="s">
        <v>16</v>
      </c>
      <c r="B10" s="7"/>
    </row>
    <row r="12" spans="1:5" x14ac:dyDescent="0.3">
      <c r="A12" s="1" t="s">
        <v>17</v>
      </c>
      <c r="B12" s="1" t="s">
        <v>18</v>
      </c>
    </row>
    <row r="13" spans="1:5" x14ac:dyDescent="0.3">
      <c r="A13" s="2">
        <v>50</v>
      </c>
      <c r="B13" s="3">
        <f>A13/265*100</f>
        <v>18.867924528301888</v>
      </c>
    </row>
    <row r="14" spans="1:5" x14ac:dyDescent="0.3">
      <c r="A14" s="2">
        <v>40</v>
      </c>
      <c r="B14" s="3">
        <f>A14/265*100</f>
        <v>15.09433962264151</v>
      </c>
    </row>
    <row r="15" spans="1:5" x14ac:dyDescent="0.3">
      <c r="A15" s="2">
        <v>70</v>
      </c>
      <c r="B15" s="3">
        <f t="shared" ref="B15:B18" si="0">A15/265*100</f>
        <v>26.415094339622641</v>
      </c>
    </row>
    <row r="16" spans="1:5" x14ac:dyDescent="0.3">
      <c r="A16" s="2">
        <v>45</v>
      </c>
      <c r="B16" s="3">
        <f t="shared" si="0"/>
        <v>16.981132075471699</v>
      </c>
    </row>
    <row r="17" spans="1:2" x14ac:dyDescent="0.3">
      <c r="A17" s="2">
        <v>36</v>
      </c>
      <c r="B17" s="3">
        <f t="shared" si="0"/>
        <v>13.584905660377359</v>
      </c>
    </row>
    <row r="18" spans="1:2" x14ac:dyDescent="0.3">
      <c r="A18" s="2">
        <v>24</v>
      </c>
      <c r="B18" s="3">
        <f t="shared" si="0"/>
        <v>9.0566037735849054</v>
      </c>
    </row>
    <row r="19" spans="1:2" x14ac:dyDescent="0.3">
      <c r="A19" s="1" t="s">
        <v>51</v>
      </c>
      <c r="B19" s="4">
        <f>SUM(B13:B18)</f>
        <v>100.00000000000001</v>
      </c>
    </row>
  </sheetData>
  <mergeCells count="2">
    <mergeCell ref="A1:E1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B3" workbookViewId="0">
      <selection activeCell="B3" sqref="B3"/>
    </sheetView>
  </sheetViews>
  <sheetFormatPr defaultRowHeight="14.4" x14ac:dyDescent="0.3"/>
  <cols>
    <col min="1" max="1" width="8" customWidth="1"/>
    <col min="2" max="2" width="18" customWidth="1"/>
    <col min="3" max="3" width="15" customWidth="1"/>
    <col min="4" max="4" width="18" customWidth="1"/>
    <col min="5" max="5" width="20" customWidth="1"/>
    <col min="6" max="6" width="12" customWidth="1"/>
    <col min="7" max="8" width="15" customWidth="1"/>
    <col min="9" max="9" width="18" customWidth="1"/>
  </cols>
  <sheetData>
    <row r="1" spans="1:9" x14ac:dyDescent="0.3">
      <c r="A1" s="6" t="s">
        <v>19</v>
      </c>
      <c r="B1" s="7"/>
      <c r="C1" s="7"/>
      <c r="D1" s="7"/>
      <c r="E1" s="7"/>
      <c r="F1" s="7"/>
      <c r="G1" s="7"/>
      <c r="H1" s="7"/>
      <c r="I1" s="7"/>
    </row>
    <row r="3" spans="1:9" ht="43.2" x14ac:dyDescent="0.3">
      <c r="A3" s="1" t="s">
        <v>20</v>
      </c>
      <c r="B3" s="5">
        <v>0.13</v>
      </c>
    </row>
    <row r="4" spans="1:9" x14ac:dyDescent="0.3">
      <c r="A4" s="1" t="s">
        <v>21</v>
      </c>
      <c r="B4" s="2">
        <v>400</v>
      </c>
    </row>
    <row r="5" spans="1:9" x14ac:dyDescent="0.3">
      <c r="A5" s="1" t="s">
        <v>22</v>
      </c>
      <c r="B5" s="2">
        <v>300</v>
      </c>
    </row>
    <row r="8" spans="1:9" x14ac:dyDescent="0.3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</row>
    <row r="9" spans="1:9" x14ac:dyDescent="0.3">
      <c r="A9" s="2">
        <v>1</v>
      </c>
      <c r="B9" s="2" t="s">
        <v>32</v>
      </c>
      <c r="C9" s="2" t="s">
        <v>33</v>
      </c>
      <c r="D9" s="2" t="s">
        <v>34</v>
      </c>
      <c r="E9" s="2" t="str">
        <f>B9&amp;" "&amp;LEFT(C9,1)&amp;"."&amp;LEFT(D9,1)&amp;"."</f>
        <v>Капица И.П.</v>
      </c>
      <c r="F9" s="2">
        <v>4250</v>
      </c>
      <c r="G9" s="2">
        <v>2</v>
      </c>
      <c r="H9" s="2">
        <f>$B$3*(F9-$B$4-(G9*$B$5))</f>
        <v>422.5</v>
      </c>
      <c r="I9" s="2">
        <f>F9-H9</f>
        <v>3827.5</v>
      </c>
    </row>
    <row r="10" spans="1:9" x14ac:dyDescent="0.3">
      <c r="A10" s="2">
        <v>2</v>
      </c>
      <c r="B10" s="2" t="s">
        <v>35</v>
      </c>
      <c r="C10" s="2" t="s">
        <v>36</v>
      </c>
      <c r="D10" s="2" t="s">
        <v>37</v>
      </c>
      <c r="E10" s="2" t="str">
        <f>B10&amp;" "&amp;LEFT(C10,1)&amp;"."&amp;LEFT(D10,1)&amp;"."</f>
        <v>Метелица М.Д.</v>
      </c>
      <c r="F10" s="2">
        <v>4000</v>
      </c>
      <c r="G10" s="2">
        <v>2</v>
      </c>
      <c r="H10" s="2">
        <f>$B$3*(F10-$B$4-(G10*$B$5))</f>
        <v>390</v>
      </c>
      <c r="I10" s="2">
        <f>F10-H10</f>
        <v>3610</v>
      </c>
    </row>
    <row r="11" spans="1:9" x14ac:dyDescent="0.3">
      <c r="A11" s="2">
        <v>3</v>
      </c>
      <c r="B11" s="2" t="s">
        <v>38</v>
      </c>
      <c r="C11" s="2" t="s">
        <v>39</v>
      </c>
      <c r="D11" s="2" t="s">
        <v>40</v>
      </c>
      <c r="E11" s="2" t="str">
        <f>B11&amp;" "&amp;LEFT(C11,1)&amp;"."&amp;LEFT(D11,1)&amp;"."</f>
        <v>Хузин И.Р.</v>
      </c>
      <c r="F11" s="2">
        <v>4000</v>
      </c>
      <c r="G11" s="2">
        <v>3</v>
      </c>
      <c r="H11" s="2">
        <f>$B$3*(F11-$B$4-(G11*$B$5))</f>
        <v>351</v>
      </c>
      <c r="I11" s="2">
        <f>F11-H11</f>
        <v>3649</v>
      </c>
    </row>
    <row r="12" spans="1:9" x14ac:dyDescent="0.3">
      <c r="A12" s="2">
        <v>4</v>
      </c>
      <c r="B12" s="2" t="s">
        <v>41</v>
      </c>
      <c r="C12" s="2" t="s">
        <v>42</v>
      </c>
      <c r="D12" s="2" t="s">
        <v>43</v>
      </c>
      <c r="E12" s="2" t="str">
        <f>B12&amp;" "&amp;LEFT(C12,1)&amp;"."&amp;LEFT(D12,1)&amp;"."</f>
        <v>Чайковский П.И.</v>
      </c>
      <c r="F12" s="2">
        <v>2500</v>
      </c>
      <c r="G12" s="2">
        <v>1</v>
      </c>
      <c r="H12" s="2">
        <f>$B$3*(F12-$B$4-(G12*$B$5))</f>
        <v>234</v>
      </c>
      <c r="I12" s="2">
        <f>F12-H12</f>
        <v>2266</v>
      </c>
    </row>
    <row r="13" spans="1:9" x14ac:dyDescent="0.3">
      <c r="A13" s="2">
        <v>5</v>
      </c>
      <c r="B13" s="2" t="s">
        <v>44</v>
      </c>
      <c r="C13" s="2" t="s">
        <v>45</v>
      </c>
      <c r="D13" s="2" t="s">
        <v>46</v>
      </c>
      <c r="E13" s="2" t="str">
        <f>B13&amp;" "&amp;LEFT(C13,1)&amp;"."&amp;LEFT(D13,1)&amp;"."</f>
        <v>Иванов А.И.</v>
      </c>
      <c r="F13" s="2">
        <v>1000</v>
      </c>
      <c r="G13" s="2">
        <v>1</v>
      </c>
      <c r="H13" s="2">
        <f>$B$3*(F13-$B$4-(G13*$B$5))</f>
        <v>39</v>
      </c>
      <c r="I13" s="2">
        <f>F13-H13</f>
        <v>961</v>
      </c>
    </row>
    <row r="14" spans="1:9" x14ac:dyDescent="0.3">
      <c r="A14" s="1" t="s">
        <v>47</v>
      </c>
      <c r="F14" s="1">
        <f>SUM(F9:F13)</f>
        <v>15750</v>
      </c>
      <c r="H14" s="1">
        <f>SUM(H9:H13)</f>
        <v>1436.5</v>
      </c>
      <c r="I14" s="1">
        <f>SUM(I9:I13)</f>
        <v>14313.5</v>
      </c>
    </row>
    <row r="17" spans="1:9" x14ac:dyDescent="0.3">
      <c r="A17" s="9" t="s">
        <v>48</v>
      </c>
      <c r="B17" s="7"/>
      <c r="C17" s="7"/>
      <c r="D17" s="7"/>
      <c r="E17" s="7"/>
      <c r="F17" s="7"/>
      <c r="G17" s="7"/>
      <c r="H17" s="7"/>
      <c r="I17" s="7"/>
    </row>
    <row r="18" spans="1:9" x14ac:dyDescent="0.3">
      <c r="A18" s="9" t="s">
        <v>49</v>
      </c>
      <c r="B18" s="7"/>
      <c r="C18" s="7"/>
      <c r="D18" s="7"/>
      <c r="E18" s="7"/>
      <c r="F18" s="7"/>
      <c r="G18" s="7"/>
      <c r="H18" s="7"/>
      <c r="I18" s="7"/>
    </row>
    <row r="19" spans="1:9" x14ac:dyDescent="0.3">
      <c r="A19" s="9" t="s">
        <v>50</v>
      </c>
      <c r="B19" s="7"/>
      <c r="C19" s="7"/>
      <c r="D19" s="7"/>
      <c r="E19" s="7"/>
      <c r="F19" s="7"/>
      <c r="G19" s="7"/>
      <c r="H19" s="7"/>
      <c r="I19" s="7"/>
    </row>
  </sheetData>
  <mergeCells count="4">
    <mergeCell ref="A1:I1"/>
    <mergeCell ref="A17:I17"/>
    <mergeCell ref="A18:I18"/>
    <mergeCell ref="A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 and References</vt:lpstr>
      <vt:lpstr>Salary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Shelton-Eduardo</cp:lastModifiedBy>
  <dcterms:created xsi:type="dcterms:W3CDTF">2026-05-25T18:56:03Z</dcterms:created>
  <dcterms:modified xsi:type="dcterms:W3CDTF">2026-05-25T19:33:26Z</dcterms:modified>
</cp:coreProperties>
</file>