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lton-Eduardo\Documents\"/>
    </mc:Choice>
  </mc:AlternateContent>
  <bookViews>
    <workbookView xWindow="0" yWindow="0" windowWidth="17256" windowHeight="5688"/>
  </bookViews>
  <sheets>
    <sheet name="Salary Calculation" sheetId="1" r:id="rId1"/>
  </sheets>
  <calcPr calcId="162913"/>
</workbook>
</file>

<file path=xl/calcChain.xml><?xml version="1.0" encoding="utf-8"?>
<calcChain xmlns="http://schemas.openxmlformats.org/spreadsheetml/2006/main">
  <c r="F12" i="1" l="1"/>
  <c r="H11" i="1"/>
  <c r="I11" i="1" s="1"/>
  <c r="E11" i="1"/>
  <c r="H10" i="1"/>
  <c r="I10" i="1" s="1"/>
  <c r="E10" i="1"/>
  <c r="I9" i="1"/>
  <c r="H9" i="1"/>
  <c r="E9" i="1"/>
  <c r="H8" i="1"/>
  <c r="I8" i="1" s="1"/>
  <c r="E8" i="1"/>
  <c r="H7" i="1"/>
  <c r="I7" i="1" s="1"/>
  <c r="I12" i="1" s="1"/>
  <c r="E7" i="1"/>
  <c r="H12" i="1" l="1"/>
</calcChain>
</file>

<file path=xl/sharedStrings.xml><?xml version="1.0" encoding="utf-8"?>
<sst xmlns="http://schemas.openxmlformats.org/spreadsheetml/2006/main" count="46" uniqueCount="35">
  <si>
    <t>Тема "Расчет заработной платы"</t>
  </si>
  <si>
    <t>% подох. налога</t>
  </si>
  <si>
    <t>13%</t>
  </si>
  <si>
    <t>льгота 1</t>
  </si>
  <si>
    <t>льгота 2</t>
  </si>
  <si>
    <t>№ п/п</t>
  </si>
  <si>
    <t>Фамилия</t>
  </si>
  <si>
    <t>Имя</t>
  </si>
  <si>
    <t>Отчество</t>
  </si>
  <si>
    <t>Ф.И.О.</t>
  </si>
  <si>
    <t>Оклад</t>
  </si>
  <si>
    <t>кол-во иждив.</t>
  </si>
  <si>
    <t>Под. налог</t>
  </si>
  <si>
    <t>Сумма к выдаче</t>
  </si>
  <si>
    <t>Капица</t>
  </si>
  <si>
    <t>Иван</t>
  </si>
  <si>
    <t>Петрович</t>
  </si>
  <si>
    <t>Метелица</t>
  </si>
  <si>
    <t>Марья</t>
  </si>
  <si>
    <t>Даниловна</t>
  </si>
  <si>
    <t>Хузин</t>
  </si>
  <si>
    <t>Ильдар</t>
  </si>
  <si>
    <t>Романович</t>
  </si>
  <si>
    <t>Чайковский</t>
  </si>
  <si>
    <t>Петр</t>
  </si>
  <si>
    <t>Ильич</t>
  </si>
  <si>
    <t>Иванов</t>
  </si>
  <si>
    <t>Альберт</t>
  </si>
  <si>
    <t>Ильдарович</t>
  </si>
  <si>
    <t>Итого:</t>
  </si>
  <si>
    <t>Чайковский П.И.</t>
  </si>
  <si>
    <t>Иванов А.И.</t>
  </si>
  <si>
    <t>Ф.И.О. представить как: Фамилия &amp; ' ' &amp; ЛевСимв(Имя) &amp; '.' &amp; ЛевСимв(Отчество) &amp; '.'</t>
  </si>
  <si>
    <t>Подох. налог = 13% * (Оклад - льгота1 - (кол-во иждив * льгота2))</t>
  </si>
  <si>
    <t>Сумма к выдаче = Оклад - Под. 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</si>
</sst>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D7" sqref="D7"/>
    </sheetView>
  </sheetViews>
  <sheetFormatPr defaultRowHeight="14.4"/>
  <cols>
    <col min="1" max="1" width="10" customWidth="1"/>
    <col min="2" max="2" width="18" customWidth="1"/>
    <col min="3" max="3" width="15" customWidth="1"/>
    <col min="4" max="5" width="18" customWidth="1"/>
    <col min="6" max="6" width="12" customWidth="1"/>
    <col min="7" max="8" width="15" customWidth="1"/>
    <col min="9" max="10" width="18" customWidth="1"/>
    <col min="11" max="11" width="10" customWidth="1"/>
  </cols>
  <sheetData>
    <row r="1" spans="1:11">
      <c r="A1" s="9" t="s">
        <v>0</v>
      </c>
      <c r="B1" s="8"/>
      <c r="C1" s="8"/>
      <c r="D1" s="8"/>
      <c r="E1" s="8"/>
      <c r="F1" s="8"/>
      <c r="G1" s="8"/>
      <c r="H1" s="8"/>
      <c r="I1" s="8"/>
    </row>
    <row r="2" spans="1:11">
      <c r="J2" t="s">
        <v>1</v>
      </c>
      <c r="K2" t="s">
        <v>2</v>
      </c>
    </row>
    <row r="3" spans="1:11" ht="28.8">
      <c r="A3" s="1" t="s">
        <v>1</v>
      </c>
      <c r="B3" s="2" t="s">
        <v>2</v>
      </c>
      <c r="J3" t="s">
        <v>3</v>
      </c>
      <c r="K3">
        <v>400</v>
      </c>
    </row>
    <row r="4" spans="1:11">
      <c r="A4" s="1" t="s">
        <v>3</v>
      </c>
      <c r="B4" s="11">
        <v>400</v>
      </c>
      <c r="J4" t="s">
        <v>4</v>
      </c>
      <c r="K4">
        <v>300</v>
      </c>
    </row>
    <row r="5" spans="1:11">
      <c r="A5" s="1" t="s">
        <v>4</v>
      </c>
      <c r="B5" s="11">
        <v>300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5"/>
      <c r="K6" s="5"/>
    </row>
    <row r="7" spans="1:11">
      <c r="A7" s="6">
        <v>1</v>
      </c>
      <c r="B7" s="6" t="s">
        <v>14</v>
      </c>
      <c r="C7" s="6" t="s">
        <v>15</v>
      </c>
      <c r="D7" s="6" t="s">
        <v>16</v>
      </c>
      <c r="E7" s="6" t="str">
        <f>B7&amp;" "&amp;LEFT(C7,1)&amp;"."&amp;LEFT(D7,1)&amp;"."</f>
        <v>Капица И.П.</v>
      </c>
      <c r="F7" s="6">
        <v>4250</v>
      </c>
      <c r="G7" s="6">
        <v>2</v>
      </c>
      <c r="H7" s="6">
        <f>$K$2*(F7-$K$3-(G7*$K$4))</f>
        <v>422.5</v>
      </c>
      <c r="I7" s="6">
        <f>F7-H7</f>
        <v>3827.5</v>
      </c>
    </row>
    <row r="8" spans="1:11">
      <c r="A8" s="4">
        <v>2</v>
      </c>
      <c r="B8" s="4" t="s">
        <v>17</v>
      </c>
      <c r="C8" s="4" t="s">
        <v>18</v>
      </c>
      <c r="D8" s="4" t="s">
        <v>19</v>
      </c>
      <c r="E8" s="4" t="str">
        <f>B8&amp;" "&amp;LEFT(C8,1)&amp;"."&amp;LEFT(D8,1)&amp;"."</f>
        <v>Метелица М.Д.</v>
      </c>
      <c r="F8" s="4">
        <v>4000</v>
      </c>
      <c r="G8" s="4">
        <v>2</v>
      </c>
      <c r="H8" s="4">
        <f>$K$2*(F8-$K$3-(G8*$K$4))</f>
        <v>390</v>
      </c>
      <c r="I8" s="4">
        <f>F8-H8</f>
        <v>3610</v>
      </c>
    </row>
    <row r="9" spans="1:11">
      <c r="A9" s="6">
        <v>3</v>
      </c>
      <c r="B9" s="6" t="s">
        <v>20</v>
      </c>
      <c r="C9" s="6" t="s">
        <v>21</v>
      </c>
      <c r="D9" s="6" t="s">
        <v>22</v>
      </c>
      <c r="E9" s="6" t="str">
        <f>B9&amp;" "&amp;LEFT(C9,1)&amp;"."&amp;LEFT(D9,1)&amp;"."</f>
        <v>Хузин И.Р.</v>
      </c>
      <c r="F9" s="6">
        <v>4000</v>
      </c>
      <c r="G9" s="6">
        <v>3</v>
      </c>
      <c r="H9" s="6">
        <f>$K$2*(F9-$K$3-(G9*$K$4))</f>
        <v>351</v>
      </c>
      <c r="I9" s="6">
        <f>F9-H9</f>
        <v>3649</v>
      </c>
    </row>
    <row r="10" spans="1:11">
      <c r="A10" s="6">
        <v>4</v>
      </c>
      <c r="B10" s="6" t="s">
        <v>23</v>
      </c>
      <c r="C10" s="6" t="s">
        <v>24</v>
      </c>
      <c r="D10" s="6" t="s">
        <v>25</v>
      </c>
      <c r="E10" s="6" t="str">
        <f>B10&amp;" "&amp;LEFT(C10,1)&amp;"."&amp;LEFT(D10,1)&amp;"."</f>
        <v>Чайковский П.И.</v>
      </c>
      <c r="F10" s="6">
        <v>2500</v>
      </c>
      <c r="G10" s="6">
        <v>1</v>
      </c>
      <c r="H10" s="6">
        <f>$K$2*(F10-$K$3-(G10*$K$4))</f>
        <v>234</v>
      </c>
      <c r="I10" s="6">
        <f>F10-H10</f>
        <v>2266</v>
      </c>
    </row>
    <row r="11" spans="1:11">
      <c r="A11" s="6">
        <v>5</v>
      </c>
      <c r="B11" s="6" t="s">
        <v>26</v>
      </c>
      <c r="C11" s="6" t="s">
        <v>27</v>
      </c>
      <c r="D11" s="6" t="s">
        <v>28</v>
      </c>
      <c r="E11" s="6" t="str">
        <f>B11&amp;" "&amp;LEFT(C11,1)&amp;"."&amp;LEFT(D11,1)&amp;"."</f>
        <v>Иванов А.И.</v>
      </c>
      <c r="F11" s="6">
        <v>1000</v>
      </c>
      <c r="G11" s="6">
        <v>1</v>
      </c>
      <c r="H11" s="6">
        <f>$K$2*(F11-$K$3-(G11*$K$4))</f>
        <v>39</v>
      </c>
      <c r="I11" s="6">
        <f>F11-H11</f>
        <v>961</v>
      </c>
    </row>
    <row r="12" spans="1:11">
      <c r="A12" s="6" t="s">
        <v>29</v>
      </c>
      <c r="B12" s="6" t="s">
        <v>23</v>
      </c>
      <c r="C12" s="6" t="s">
        <v>24</v>
      </c>
      <c r="D12" s="6" t="s">
        <v>25</v>
      </c>
      <c r="E12" s="6" t="s">
        <v>30</v>
      </c>
      <c r="F12" s="6">
        <f>SUM(F7:F11)</f>
        <v>15750</v>
      </c>
      <c r="G12" s="6">
        <v>1</v>
      </c>
      <c r="H12" s="6">
        <f>SUM(H7:H11)</f>
        <v>1436.5</v>
      </c>
      <c r="I12" s="6">
        <f>SUM(I7:I11)</f>
        <v>14313.5</v>
      </c>
    </row>
    <row r="13" spans="1:11">
      <c r="A13" s="3">
        <v>5</v>
      </c>
      <c r="B13" s="3" t="s">
        <v>26</v>
      </c>
      <c r="C13" s="3" t="s">
        <v>27</v>
      </c>
      <c r="D13" s="3" t="s">
        <v>28</v>
      </c>
      <c r="E13" s="3" t="s">
        <v>31</v>
      </c>
      <c r="F13" s="3">
        <v>1000</v>
      </c>
      <c r="G13" s="3">
        <v>1</v>
      </c>
      <c r="H13" s="3">
        <v>39</v>
      </c>
      <c r="I13" s="3">
        <v>961</v>
      </c>
    </row>
    <row r="14" spans="1:11">
      <c r="A14" s="1" t="s">
        <v>29</v>
      </c>
      <c r="F14" s="1">
        <v>15750</v>
      </c>
      <c r="H14" s="1">
        <v>1436.5</v>
      </c>
      <c r="I14" s="1">
        <v>14313.5</v>
      </c>
    </row>
    <row r="17" spans="1:9">
      <c r="A17" s="10"/>
      <c r="B17" s="8"/>
      <c r="C17" s="8"/>
      <c r="D17" s="8"/>
      <c r="E17" s="8"/>
      <c r="F17" s="8"/>
      <c r="G17" s="8"/>
      <c r="H17" s="8"/>
      <c r="I17" s="8"/>
    </row>
    <row r="18" spans="1:9">
      <c r="A18" s="7" t="s">
        <v>32</v>
      </c>
      <c r="B18" s="8"/>
      <c r="C18" s="8"/>
      <c r="D18" s="8"/>
      <c r="E18" s="8"/>
      <c r="F18" s="8"/>
      <c r="G18" s="8"/>
      <c r="H18" s="8"/>
      <c r="I18" s="8"/>
    </row>
    <row r="19" spans="1:9">
      <c r="A19" s="7" t="s">
        <v>33</v>
      </c>
      <c r="B19" s="8"/>
      <c r="C19" s="8"/>
      <c r="D19" s="8"/>
      <c r="E19" s="8"/>
      <c r="F19" s="8"/>
      <c r="G19" s="8"/>
      <c r="H19" s="8"/>
      <c r="I19" s="8"/>
    </row>
    <row r="20" spans="1:9">
      <c r="A20" s="7" t="s">
        <v>34</v>
      </c>
      <c r="B20" s="8"/>
      <c r="C20" s="8"/>
      <c r="D20" s="8"/>
      <c r="E20" s="8"/>
      <c r="F20" s="8"/>
      <c r="G20" s="8"/>
      <c r="H20" s="8"/>
      <c r="I20" s="8"/>
    </row>
  </sheetData>
  <mergeCells count="5">
    <mergeCell ref="A19:I19"/>
    <mergeCell ref="A1:I1"/>
    <mergeCell ref="A17:I17"/>
    <mergeCell ref="A18:I18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Shelton-Eduardo</cp:lastModifiedBy>
  <dcterms:created xsi:type="dcterms:W3CDTF">2026-05-25T18:52:36Z</dcterms:created>
  <dcterms:modified xsi:type="dcterms:W3CDTF">2026-05-25T19:29:02Z</dcterms:modified>
</cp:coreProperties>
</file>